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OQ" sheetId="1" state="visible" r:id="rId3"/>
    <sheet name="Schedule Summary" sheetId="2" state="visible" r:id="rId4"/>
  </sheets>
  <definedNames>
    <definedName function="false" hidden="false" localSheetId="0" name="_xlnm.Print_Area" vbProcedure="false">BOQ!$A$1:$H$24</definedName>
    <definedName function="false" hidden="false" localSheetId="1" name="_xlnm.Print_Area" vbProcedure="false">'Schedule Summary'!$A$1:$D$48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<sst xmlns="http://schemas.openxmlformats.org/spreadsheetml/2006/main" count="100" uniqueCount="79">
  <si>
    <t xml:space="preserve">4</t>
  </si>
  <si>
    <t xml:space="preserve">KARACHI METROPOLITAN CORPORATION</t>
  </si>
  <si>
    <t xml:space="preserve">ENGINEERING DEPARTMENT</t>
  </si>
  <si>
    <t xml:space="preserve">Electrical Work at UC-05 Qaidabad Ward No. 1,2,3,4 District Malir KMC.</t>
  </si>
  <si>
    <t xml:space="preserve">SCHEDULE</t>
  </si>
  <si>
    <t xml:space="preserve">Estimated Cost:</t>
  </si>
  <si>
    <t xml:space="preserve">Rs.3.00 Millions</t>
  </si>
  <si>
    <t xml:space="preserve">Performance Security:</t>
  </si>
  <si>
    <t xml:space="preserve">2% of Quoted Amount</t>
  </si>
  <si>
    <t xml:space="preserve">Tender Cost:</t>
  </si>
  <si>
    <t xml:space="preserve">Rs.2000/- Each.</t>
  </si>
  <si>
    <t xml:space="preserve">S.#</t>
  </si>
  <si>
    <t xml:space="preserve">Description</t>
  </si>
  <si>
    <t xml:space="preserve">Qty</t>
  </si>
  <si>
    <t xml:space="preserve">Unit</t>
  </si>
  <si>
    <t xml:space="preserve">Rate</t>
  </si>
  <si>
    <t xml:space="preserve">In Words</t>
  </si>
  <si>
    <t xml:space="preserve">Total</t>
  </si>
  <si>
    <t xml:space="preserve">Ref.</t>
  </si>
  <si>
    <t xml:space="preserve">Providing &amp;b laying (Main or Sub Main) PVC insulated &amp; PVC Sheeted with two core copper conductor 300/500volts size 1.5mm2</t>
  </si>
  <si>
    <t xml:space="preserve">R.ft</t>
  </si>
  <si>
    <t xml:space="preserve">Two Hundred Fifty Only</t>
  </si>
  <si>
    <t xml:space="preserve">Sr. No.
43</t>
  </si>
  <si>
    <t xml:space="preserve">Providing &amp;b laying (Main or Sub Main) PVC insulated &amp; PVC Sheeted with two core copper conductor 300/500volts size 2.5mm2</t>
  </si>
  <si>
    <t xml:space="preserve">Rft</t>
  </si>
  <si>
    <t xml:space="preserve">Two Hundred Sixty Nine Only</t>
  </si>
  <si>
    <t xml:space="preserve">Sr. No.
44 </t>
  </si>
  <si>
    <t xml:space="preserve">TOTAL OF SCHEDULE ITEMS:</t>
  </si>
  <si>
    <t xml:space="preserve">NON SCHEDULE ITEMS</t>
  </si>
  <si>
    <t xml:space="preserve">Providinf &amp; Fixing Butterfly Moon Light with 40 Watt LED Lamp complete with holder internal wiring hook for hanging etc. complete.</t>
  </si>
  <si>
    <t xml:space="preserve">No</t>
  </si>
  <si>
    <t xml:space="preserve">Two Thousand Two Hundred Forty Only</t>
  </si>
  <si>
    <t xml:space="preserve">Providing and fixing 100Watt LED Street Light Best Quality available in local market as per instructions of EI.</t>
  </si>
  <si>
    <t xml:space="preserve">Twenty Two Thousand Four Hundred Only</t>
  </si>
  <si>
    <t xml:space="preserve">Providing and fixing 20 Amp Switch with wooden board and necessary fixing accessories</t>
  </si>
  <si>
    <t xml:space="preserve">One Hundred Sixty and Twelve Paisa Only</t>
  </si>
  <si>
    <t xml:space="preserve">Manufacturing Providing and fixing G.I single arm double arch bracket as per site requirement and instructions of Engineer Incharge with the following specifications. G.I pipe 2” dia 10SWG 4ft. Long with canopy 2 Nos M.S clamps with nuts &amp; bolts.</t>
  </si>
  <si>
    <t xml:space="preserve">Three Thousand Six Hundred Only</t>
  </si>
  <si>
    <t xml:space="preserve">P/F ABC connector suitable for 16mm ABC Bundle cable with help of hydraulic crane and manual labour.</t>
  </si>
  <si>
    <t xml:space="preserve">Three Hundred Sixty Only</t>
  </si>
  <si>
    <t xml:space="preserve">P/L ABC Bundle cable four core 16mm2 Aluminium conductor, with the help of hydraulic crane &amp; manual labour.</t>
  </si>
  <si>
    <t xml:space="preserve">Mtr</t>
  </si>
  <si>
    <t xml:space="preserve">Three Hundred Four Only</t>
  </si>
  <si>
    <t xml:space="preserve">Total of Non Schedule Items:</t>
  </si>
  <si>
    <t xml:space="preserve">Grand Total</t>
  </si>
  <si>
    <t xml:space="preserve">I/We hereby quoted as follow:</t>
  </si>
  <si>
    <t xml:space="preserve">PART-A</t>
  </si>
  <si>
    <t xml:space="preserve">Tender Amount</t>
  </si>
  <si>
    <t xml:space="preserve">(Items Based on S/R)    Rs. /-</t>
  </si>
  <si>
    <t xml:space="preserve">Tender 20% Below</t>
  </si>
  <si>
    <t xml:space="preserve">  20  % below the S/R</t>
  </si>
  <si>
    <t xml:space="preserve">Difference</t>
  </si>
  <si>
    <t xml:space="preserve">Part-A Total (S/R after discount)</t>
  </si>
  <si>
    <t xml:space="preserve">PART-B</t>
  </si>
  <si>
    <t xml:space="preserve">(Items Based on O/R)</t>
  </si>
  <si>
    <t xml:space="preserve">Total Amount (A + B)</t>
  </si>
  <si>
    <t xml:space="preserve">Add 5% S.R.B Tax</t>
  </si>
  <si>
    <t xml:space="preserve">GRAND TOTAL</t>
  </si>
  <si>
    <t xml:space="preserve">Amount in Words:</t>
  </si>
  <si>
    <t xml:space="preserve">Two Million Four Hundred Thousand Only</t>
  </si>
  <si>
    <t xml:space="preserve">6</t>
  </si>
  <si>
    <t xml:space="preserve">Subject:    Providing and Installation of Solar Powered Street Lights at M.T Khan Road District South KMC</t>
  </si>
  <si>
    <t xml:space="preserve">Rs.20.00 Millions</t>
  </si>
  <si>
    <t xml:space="preserve">Rs.5000/- Each.</t>
  </si>
  <si>
    <t xml:space="preserve">The total amount in Rs. ______________________ (Rupees:____________________________</t>
  </si>
  <si>
    <t xml:space="preserve">                                        (In Figure)                                                (In Words).</t>
  </si>
  <si>
    <t xml:space="preserve"> __________________________________________________________ for complete work.</t>
  </si>
  <si>
    <t xml:space="preserve">I/We have attached a pay order bearing No. _________________ Dated: ______________</t>
  </si>
  <si>
    <t xml:space="preserve">issued from _________________________ amounting to Rs. _____________ as per NIT.</t>
  </si>
  <si>
    <t xml:space="preserve">                          (Name of Bank)</t>
  </si>
  <si>
    <t xml:space="preserve">NOTE:</t>
  </si>
  <si>
    <t xml:space="preserve">  •  Tender must be quoted in figures and in words both otherwise liable to be cancelled.</t>
  </si>
  <si>
    <t xml:space="preserve">  •  All over writing &amp; correction (if any) must be initiated &amp; stamped by the bidder.</t>
  </si>
  <si>
    <t xml:space="preserve">  •  All SPPRA Rules &amp; Notifications must be followed.</t>
  </si>
  <si>
    <t xml:space="preserve">  •  Bid amount should be rounded off to the nearest rupee.</t>
  </si>
  <si>
    <t xml:space="preserve">Signature of the Contractor with Stamp</t>
  </si>
  <si>
    <t xml:space="preserve">Adress: ______________________</t>
  </si>
  <si>
    <t xml:space="preserve">_____________________________</t>
  </si>
  <si>
    <t xml:space="preserve">Checked By</t>
  </si>
</sst>
</file>

<file path=xl/styles.xml><?xml version="1.0" encoding="utf-8"?>
<styleSheet xmlns="http://schemas.openxmlformats.org/spreadsheetml/2006/main">
  <numFmts count="4">
    <numFmt numFmtId="164" formatCode="General"/>
    <numFmt numFmtId="165" formatCode="#,##0.000"/>
    <numFmt numFmtId="166" formatCode="#,##0.00"/>
    <numFmt numFmtId="167" formatCode="#,##0"/>
  </numFmts>
  <fonts count="18">
    <font>
      <sz val="11"/>
      <color theme="1"/>
      <name val="Calibri"/>
      <family val="2"/>
      <charset val="1"/>
    </font>
    <font>
      <sz val="10"/>
      <name val="Arial"/>
      <family val="0"/>
    </font>
    <font>
      <sz val="10"/>
      <name val="Arial"/>
      <family val="0"/>
    </font>
    <font>
      <sz val="10"/>
      <name val="Arial"/>
      <family val="0"/>
    </font>
    <font>
      <b val="true"/>
      <sz val="12"/>
      <name val="Times New Roman"/>
      <family val="1"/>
      <charset val="1"/>
    </font>
    <font>
      <b val="true"/>
      <sz val="14"/>
      <name val="Times New Roman"/>
      <family val="1"/>
      <charset val="1"/>
    </font>
    <font>
      <b val="true"/>
      <u val="single"/>
      <sz val="12"/>
      <name val="Times New Roman"/>
      <family val="1"/>
      <charset val="1"/>
    </font>
    <font>
      <b val="true"/>
      <sz val="11"/>
      <name val="Times New Roman"/>
      <family val="1"/>
      <charset val="1"/>
    </font>
    <font>
      <b val="true"/>
      <sz val="11"/>
      <color theme="9" tint="-0.25"/>
      <name val="Times New Roman"/>
      <family val="1"/>
      <charset val="1"/>
    </font>
    <font>
      <b val="true"/>
      <sz val="10"/>
      <name val="Times New Roman"/>
      <family val="1"/>
      <charset val="1"/>
    </font>
    <font>
      <sz val="11"/>
      <name val="Times New Roman"/>
      <family val="1"/>
      <charset val="1"/>
    </font>
    <font>
      <sz val="10"/>
      <name val="Times New Roman"/>
      <family val="1"/>
      <charset val="1"/>
    </font>
    <font>
      <sz val="10"/>
      <color rgb="FF0000FF"/>
      <name val="Times New Roman"/>
      <family val="1"/>
      <charset val="1"/>
    </font>
    <font>
      <sz val="11"/>
      <color theme="1"/>
      <name val="Times New Roman"/>
      <family val="1"/>
      <charset val="1"/>
    </font>
    <font>
      <b val="true"/>
      <u val="single"/>
      <sz val="11"/>
      <color theme="0"/>
      <name val="Calibri"/>
      <family val="2"/>
      <charset val="1"/>
    </font>
    <font>
      <b val="true"/>
      <sz val="10"/>
      <color rgb="FF0000FF"/>
      <name val="Times New Roman"/>
      <family val="1"/>
      <charset val="1"/>
    </font>
    <font>
      <b val="true"/>
      <sz val="11"/>
      <name val="Times New Roman"/>
      <family val="0"/>
      <charset val="1"/>
    </font>
    <font>
      <b val="true"/>
      <i val="true"/>
      <sz val="11"/>
      <name val="Times New Roman"/>
      <family val="0"/>
      <charset val="1"/>
    </font>
  </fonts>
  <fills count="7">
    <fill>
      <patternFill patternType="none"/>
    </fill>
    <fill>
      <patternFill patternType="gray125"/>
    </fill>
    <fill>
      <patternFill patternType="solid">
        <fgColor theme="9"/>
        <bgColor rgb="FFFF8080"/>
      </patternFill>
    </fill>
    <fill>
      <patternFill patternType="solid">
        <fgColor theme="0" tint="-0.15"/>
        <bgColor rgb="FFBFBFBF"/>
      </patternFill>
    </fill>
    <fill>
      <patternFill patternType="solid">
        <fgColor theme="1"/>
        <bgColor rgb="FF003300"/>
      </patternFill>
    </fill>
    <fill>
      <patternFill patternType="solid">
        <fgColor theme="0" tint="-0.25"/>
        <bgColor rgb="FFD9D9D9"/>
      </patternFill>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9" fillId="3"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right"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14" fillId="4" borderId="0"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0" fillId="5" borderId="1" xfId="0" applyFont="true" applyBorder="true" applyAlignment="true" applyProtection="false">
      <alignment horizontal="general" vertical="bottom" textRotation="0" wrapText="false" indent="0" shrinkToFit="false"/>
      <protection locked="true" hidden="false"/>
    </xf>
    <xf numFmtId="164" fontId="0" fillId="6" borderId="1" xfId="0" applyFont="false" applyBorder="true" applyAlignment="true" applyProtection="false">
      <alignment horizontal="center" vertical="center" textRotation="0" wrapText="false" indent="0" shrinkToFit="false"/>
      <protection locked="true" hidden="false"/>
    </xf>
    <xf numFmtId="166" fontId="15"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6" fontId="0" fillId="6" borderId="1" xfId="0" applyFont="fals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center" vertical="bottom" textRotation="0" wrapText="false" indent="0" shrinkToFit="false"/>
      <protection locked="true" hidden="false"/>
    </xf>
    <xf numFmtId="166" fontId="11" fillId="0" borderId="1" xfId="0" applyFont="true" applyBorder="tru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center" textRotation="0" wrapText="tru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7" fontId="12" fillId="0" borderId="1" xfId="0" applyFont="true" applyBorder="true" applyAlignment="true" applyProtection="false">
      <alignment horizontal="right" vertical="center" textRotation="0" wrapText="false" indent="0" shrinkToFit="false"/>
      <protection locked="true" hidden="false"/>
    </xf>
    <xf numFmtId="167" fontId="9" fillId="0" borderId="1" xfId="0" applyFont="true" applyBorder="true" applyAlignment="true" applyProtection="false">
      <alignment horizontal="right" vertical="center" textRotation="0" wrapText="false" indent="0" shrinkToFit="false"/>
      <protection locked="true" hidden="false"/>
    </xf>
    <xf numFmtId="164" fontId="9" fillId="0" borderId="1" xfId="0" applyFont="true" applyBorder="true" applyAlignment="true" applyProtection="false">
      <alignment horizontal="right" vertical="center" textRotation="0" wrapText="false" indent="0" shrinkToFit="false"/>
      <protection locked="true" hidden="false"/>
    </xf>
    <xf numFmtId="164" fontId="4" fillId="0" borderId="1" xfId="0" applyFont="true" applyBorder="true" applyAlignment="true" applyProtection="false">
      <alignment horizontal="right" vertical="center" textRotation="0" wrapText="false" indent="0" shrinkToFit="false"/>
      <protection locked="true" hidden="false"/>
    </xf>
    <xf numFmtId="167" fontId="4" fillId="0" borderId="1" xfId="0" applyFont="true" applyBorder="true" applyAlignment="true" applyProtection="false">
      <alignment horizontal="right"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right" vertical="bottom" textRotation="0" wrapText="false" indent="0" shrinkToFit="false"/>
      <protection locked="true" hidden="false"/>
    </xf>
    <xf numFmtId="164" fontId="11" fillId="0" borderId="0"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79646"/>
      <rgbColor rgb="FFE46C0A"/>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48"/>
  <sheetViews>
    <sheetView showFormulas="false" showGridLines="true" showRowColHeaders="true" showZeros="true" rightToLeft="false" tabSelected="true" showOutlineSymbols="true" defaultGridColor="true" view="normal" topLeftCell="A19" colorId="64" zoomScale="115" zoomScaleNormal="115" zoomScalePageLayoutView="100" workbookViewId="0">
      <selection pane="topLeft" activeCell="E19" activeCellId="0" sqref="E19"/>
    </sheetView>
  </sheetViews>
  <sheetFormatPr defaultColWidth="8.71484375" defaultRowHeight="15" customHeight="false" zeroHeight="false" outlineLevelRow="0" outlineLevelCol="0"/>
  <cols>
    <col collapsed="false" customWidth="true" hidden="false" outlineLevel="0" max="1" min="1" style="1" width="5"/>
    <col collapsed="false" customWidth="true" hidden="false" outlineLevel="0" max="2" min="2" style="1" width="61.15"/>
    <col collapsed="false" customWidth="true" hidden="false" outlineLevel="0" max="3" min="3" style="1" width="7"/>
    <col collapsed="false" customWidth="true" hidden="false" outlineLevel="0" max="4" min="4" style="1" width="8"/>
    <col collapsed="false" customWidth="true" hidden="false" outlineLevel="0" max="5" min="5" style="1" width="14"/>
    <col collapsed="false" customWidth="true" hidden="false" outlineLevel="0" max="6" min="6" style="1" width="31.86"/>
    <col collapsed="false" customWidth="true" hidden="false" outlineLevel="0" max="7" min="7" style="1" width="17.57"/>
    <col collapsed="false" customWidth="true" hidden="false" outlineLevel="0" max="8" min="8" style="1" width="12.71"/>
  </cols>
  <sheetData>
    <row r="1" customFormat="false" ht="15" hidden="false" customHeight="true" outlineLevel="0" collapsed="false">
      <c r="A1" s="2" t="s">
        <v>0</v>
      </c>
      <c r="B1" s="2"/>
      <c r="C1" s="2"/>
      <c r="D1" s="2"/>
      <c r="E1" s="2"/>
      <c r="F1" s="2"/>
      <c r="G1" s="2"/>
      <c r="H1" s="2"/>
    </row>
    <row r="2" customFormat="false" ht="17.25" hidden="false" customHeight="true" outlineLevel="0" collapsed="false">
      <c r="A2" s="3" t="s">
        <v>1</v>
      </c>
      <c r="B2" s="3"/>
      <c r="C2" s="3"/>
      <c r="D2" s="3"/>
      <c r="E2" s="3"/>
      <c r="F2" s="3"/>
      <c r="G2" s="3"/>
      <c r="H2" s="3"/>
    </row>
    <row r="3" customFormat="false" ht="15" hidden="false" customHeight="true" outlineLevel="0" collapsed="false">
      <c r="A3" s="4" t="s">
        <v>2</v>
      </c>
      <c r="B3" s="4"/>
      <c r="C3" s="4"/>
      <c r="D3" s="4"/>
      <c r="E3" s="4"/>
      <c r="F3" s="4"/>
      <c r="G3" s="4"/>
      <c r="H3" s="4"/>
    </row>
    <row r="5" customFormat="false" ht="30" hidden="false" customHeight="true" outlineLevel="0" collapsed="false">
      <c r="A5" s="5" t="s">
        <v>3</v>
      </c>
      <c r="B5" s="5"/>
      <c r="C5" s="5"/>
      <c r="D5" s="5"/>
      <c r="E5" s="5"/>
      <c r="F5" s="5"/>
      <c r="G5" s="5"/>
      <c r="H5" s="5"/>
    </row>
    <row r="7" customFormat="false" ht="15" hidden="false" customHeight="true" outlineLevel="0" collapsed="false">
      <c r="A7" s="4" t="s">
        <v>4</v>
      </c>
      <c r="B7" s="4"/>
      <c r="C7" s="4"/>
      <c r="D7" s="4"/>
      <c r="E7" s="4"/>
      <c r="F7" s="4"/>
      <c r="G7" s="4"/>
      <c r="H7" s="4"/>
    </row>
    <row r="8" customFormat="false" ht="15" hidden="false" customHeight="true" outlineLevel="0" collapsed="false">
      <c r="A8" s="6" t="s">
        <v>5</v>
      </c>
      <c r="B8" s="6"/>
      <c r="C8" s="6"/>
      <c r="D8" s="6"/>
      <c r="E8" s="6" t="s">
        <v>6</v>
      </c>
      <c r="F8" s="6"/>
      <c r="G8" s="6"/>
      <c r="H8" s="6"/>
    </row>
    <row r="9" customFormat="false" ht="15" hidden="false" customHeight="true" outlineLevel="0" collapsed="false">
      <c r="A9" s="6" t="s">
        <v>7</v>
      </c>
      <c r="B9" s="6"/>
      <c r="C9" s="6"/>
      <c r="D9" s="6"/>
      <c r="E9" s="6" t="s">
        <v>8</v>
      </c>
      <c r="F9" s="6"/>
      <c r="G9" s="6"/>
      <c r="H9" s="6"/>
    </row>
    <row r="10" customFormat="false" ht="15" hidden="false" customHeight="true" outlineLevel="0" collapsed="false">
      <c r="A10" s="6" t="s">
        <v>9</v>
      </c>
      <c r="B10" s="6"/>
      <c r="C10" s="6"/>
      <c r="D10" s="6"/>
      <c r="E10" s="6" t="s">
        <v>10</v>
      </c>
      <c r="F10" s="6"/>
      <c r="G10" s="6"/>
      <c r="H10" s="6"/>
    </row>
    <row r="12" customFormat="false" ht="24.75" hidden="false" customHeight="true" outlineLevel="0" collapsed="false">
      <c r="A12" s="7" t="s">
        <v>11</v>
      </c>
      <c r="B12" s="7" t="s">
        <v>12</v>
      </c>
      <c r="C12" s="7" t="s">
        <v>13</v>
      </c>
      <c r="D12" s="7" t="s">
        <v>14</v>
      </c>
      <c r="E12" s="7" t="s">
        <v>15</v>
      </c>
      <c r="F12" s="7" t="s">
        <v>16</v>
      </c>
      <c r="G12" s="7" t="s">
        <v>17</v>
      </c>
      <c r="H12" s="7" t="s">
        <v>18</v>
      </c>
    </row>
    <row r="13" customFormat="false" ht="30" hidden="false" customHeight="true" outlineLevel="0" collapsed="false">
      <c r="A13" s="7" t="n">
        <v>1</v>
      </c>
      <c r="B13" s="8" t="s">
        <v>19</v>
      </c>
      <c r="C13" s="7" t="n">
        <v>1098</v>
      </c>
      <c r="D13" s="9" t="s">
        <v>20</v>
      </c>
      <c r="E13" s="10" t="n">
        <v>250</v>
      </c>
      <c r="F13" s="11" t="s">
        <v>21</v>
      </c>
      <c r="G13" s="12" t="n">
        <f aca="false">C13*E13</f>
        <v>274500</v>
      </c>
      <c r="H13" s="9" t="s">
        <v>22</v>
      </c>
    </row>
    <row r="14" customFormat="false" ht="30" hidden="false" customHeight="true" outlineLevel="0" collapsed="false">
      <c r="A14" s="7" t="n">
        <v>2</v>
      </c>
      <c r="B14" s="8" t="s">
        <v>23</v>
      </c>
      <c r="C14" s="7" t="n">
        <v>380</v>
      </c>
      <c r="D14" s="9" t="s">
        <v>24</v>
      </c>
      <c r="E14" s="10" t="n">
        <v>269</v>
      </c>
      <c r="F14" s="11" t="s">
        <v>25</v>
      </c>
      <c r="G14" s="12" t="n">
        <f aca="false">C14*E14</f>
        <v>102220</v>
      </c>
      <c r="H14" s="9" t="s">
        <v>26</v>
      </c>
    </row>
    <row r="15" customFormat="false" ht="15" hidden="false" customHeight="true" outlineLevel="0" collapsed="false">
      <c r="A15" s="7"/>
      <c r="B15" s="13" t="s">
        <v>27</v>
      </c>
      <c r="C15" s="7"/>
      <c r="D15" s="9"/>
      <c r="E15" s="10"/>
      <c r="F15" s="11"/>
      <c r="G15" s="14" t="n">
        <f aca="false">SUM(G13:G14)</f>
        <v>376720</v>
      </c>
      <c r="H15" s="15"/>
    </row>
    <row r="16" customFormat="false" ht="15" hidden="false" customHeight="true" outlineLevel="0" collapsed="false">
      <c r="A16" s="7"/>
      <c r="B16" s="16" t="s">
        <v>28</v>
      </c>
      <c r="C16" s="7"/>
      <c r="D16" s="9"/>
      <c r="E16" s="10"/>
      <c r="F16" s="11"/>
      <c r="G16" s="12"/>
      <c r="H16" s="15"/>
    </row>
    <row r="17" customFormat="false" ht="31.5" hidden="false" customHeight="true" outlineLevel="0" collapsed="false">
      <c r="A17" s="7" t="n">
        <v>3</v>
      </c>
      <c r="B17" s="17" t="s">
        <v>29</v>
      </c>
      <c r="C17" s="7" t="n">
        <v>147</v>
      </c>
      <c r="D17" s="9" t="s">
        <v>30</v>
      </c>
      <c r="E17" s="10" t="n">
        <v>2240</v>
      </c>
      <c r="F17" s="11" t="s">
        <v>31</v>
      </c>
      <c r="G17" s="12" t="n">
        <f aca="false">C17*E17</f>
        <v>329280</v>
      </c>
      <c r="H17" s="15"/>
    </row>
    <row r="18" customFormat="false" ht="30" hidden="false" customHeight="true" outlineLevel="0" collapsed="false">
      <c r="A18" s="7" t="n">
        <v>4</v>
      </c>
      <c r="B18" s="8" t="s">
        <v>32</v>
      </c>
      <c r="C18" s="7" t="n">
        <v>56</v>
      </c>
      <c r="D18" s="9" t="s">
        <v>30</v>
      </c>
      <c r="E18" s="10" t="n">
        <v>22400</v>
      </c>
      <c r="F18" s="11" t="s">
        <v>33</v>
      </c>
      <c r="G18" s="12" t="n">
        <f aca="false">C18*E18</f>
        <v>1254400</v>
      </c>
      <c r="H18" s="15"/>
    </row>
    <row r="19" customFormat="false" ht="30" hidden="false" customHeight="true" outlineLevel="0" collapsed="false">
      <c r="A19" s="7" t="n">
        <v>5</v>
      </c>
      <c r="B19" s="8" t="s">
        <v>34</v>
      </c>
      <c r="C19" s="7" t="n">
        <v>150</v>
      </c>
      <c r="D19" s="9" t="s">
        <v>30</v>
      </c>
      <c r="E19" s="10" t="n">
        <v>160.122</v>
      </c>
      <c r="F19" s="11" t="s">
        <v>35</v>
      </c>
      <c r="G19" s="12" t="n">
        <f aca="false">C19*E19</f>
        <v>24018.3</v>
      </c>
      <c r="H19" s="15"/>
    </row>
    <row r="20" customFormat="false" ht="60" hidden="false" customHeight="true" outlineLevel="0" collapsed="false">
      <c r="A20" s="7" t="n">
        <v>6</v>
      </c>
      <c r="B20" s="8" t="s">
        <v>36</v>
      </c>
      <c r="C20" s="7" t="n">
        <v>60</v>
      </c>
      <c r="D20" s="9" t="s">
        <v>30</v>
      </c>
      <c r="E20" s="10" t="n">
        <v>3600</v>
      </c>
      <c r="F20" s="11" t="s">
        <v>37</v>
      </c>
      <c r="G20" s="12" t="n">
        <f aca="false">C20*E20</f>
        <v>216000</v>
      </c>
      <c r="H20" s="15"/>
    </row>
    <row r="21" customFormat="false" ht="30" hidden="false" customHeight="true" outlineLevel="0" collapsed="false">
      <c r="A21" s="7" t="n">
        <v>7</v>
      </c>
      <c r="B21" s="8" t="s">
        <v>38</v>
      </c>
      <c r="C21" s="7" t="n">
        <v>404</v>
      </c>
      <c r="D21" s="9" t="s">
        <v>30</v>
      </c>
      <c r="E21" s="10" t="n">
        <v>360</v>
      </c>
      <c r="F21" s="11" t="s">
        <v>39</v>
      </c>
      <c r="G21" s="12" t="n">
        <f aca="false">C21*E21</f>
        <v>145440</v>
      </c>
      <c r="H21" s="15"/>
    </row>
    <row r="22" customFormat="false" ht="30" hidden="false" customHeight="true" outlineLevel="0" collapsed="false">
      <c r="A22" s="7" t="n">
        <v>8</v>
      </c>
      <c r="B22" s="8" t="s">
        <v>40</v>
      </c>
      <c r="C22" s="7" t="n">
        <v>50</v>
      </c>
      <c r="D22" s="9" t="s">
        <v>41</v>
      </c>
      <c r="E22" s="10" t="n">
        <v>304</v>
      </c>
      <c r="F22" s="11" t="s">
        <v>42</v>
      </c>
      <c r="G22" s="12" t="n">
        <f aca="false">C22*E22</f>
        <v>15200</v>
      </c>
      <c r="H22" s="15"/>
    </row>
    <row r="23" customFormat="false" ht="15" hidden="false" customHeight="true" outlineLevel="0" collapsed="false">
      <c r="A23" s="18" t="s">
        <v>43</v>
      </c>
      <c r="B23" s="18"/>
      <c r="C23" s="18"/>
      <c r="D23" s="18"/>
      <c r="E23" s="18"/>
      <c r="F23" s="18"/>
      <c r="G23" s="14" t="n">
        <f aca="false">SUM(G17:G22)</f>
        <v>1984338.3</v>
      </c>
      <c r="H23" s="19"/>
    </row>
    <row r="24" customFormat="false" ht="21" hidden="false" customHeight="true" outlineLevel="0" collapsed="false">
      <c r="A24" s="18" t="s">
        <v>44</v>
      </c>
      <c r="B24" s="18"/>
      <c r="C24" s="18"/>
      <c r="D24" s="18"/>
      <c r="E24" s="18"/>
      <c r="F24" s="18"/>
      <c r="G24" s="20" t="n">
        <f aca="false">G15+G23</f>
        <v>2361058.3</v>
      </c>
      <c r="H24" s="19"/>
    </row>
    <row r="26" customFormat="false" ht="24" hidden="false" customHeight="true" outlineLevel="0" collapsed="false">
      <c r="B26" s="21" t="s">
        <v>45</v>
      </c>
      <c r="C26" s="21"/>
      <c r="D26" s="21"/>
      <c r="E26" s="21"/>
    </row>
    <row r="28" customFormat="false" ht="15" hidden="false" customHeight="true" outlineLevel="0" collapsed="false">
      <c r="B28" s="22" t="s">
        <v>46</v>
      </c>
      <c r="C28" s="22"/>
      <c r="D28" s="23"/>
      <c r="E28" s="23"/>
      <c r="G28" s="24" t="s">
        <v>47</v>
      </c>
      <c r="H28" s="25" t="n">
        <v>3000000</v>
      </c>
    </row>
    <row r="29" customFormat="false" ht="15" hidden="false" customHeight="true" outlineLevel="0" collapsed="false">
      <c r="B29" s="23" t="s">
        <v>48</v>
      </c>
      <c r="C29" s="23"/>
      <c r="D29" s="26" t="n">
        <f aca="false">G15</f>
        <v>376720</v>
      </c>
      <c r="E29" s="26"/>
      <c r="G29" s="24" t="s">
        <v>49</v>
      </c>
      <c r="H29" s="25" t="n">
        <f aca="false">H28-(H28*20/100)</f>
        <v>2400000</v>
      </c>
    </row>
    <row r="30" customFormat="false" ht="15" hidden="false" customHeight="true" outlineLevel="0" collapsed="false">
      <c r="B30" s="27" t="s">
        <v>50</v>
      </c>
      <c r="C30" s="27"/>
      <c r="D30" s="28" t="n">
        <f aca="false">D29-(D29*20/100)</f>
        <v>301376</v>
      </c>
      <c r="E30" s="28"/>
      <c r="G30" s="24" t="s">
        <v>51</v>
      </c>
      <c r="H30" s="29" t="n">
        <f aca="false">H29-D40</f>
        <v>-0.0149999996647239</v>
      </c>
    </row>
    <row r="31" customFormat="false" ht="15" hidden="false" customHeight="true" outlineLevel="0" collapsed="false">
      <c r="B31" s="30" t="s">
        <v>52</v>
      </c>
      <c r="C31" s="30"/>
      <c r="D31" s="28" t="n">
        <f aca="false">D30</f>
        <v>301376</v>
      </c>
      <c r="E31" s="28"/>
    </row>
    <row r="32" customFormat="false" ht="15" hidden="false" customHeight="true" outlineLevel="0" collapsed="false">
      <c r="B32" s="31"/>
      <c r="C32" s="31"/>
      <c r="D32" s="32"/>
      <c r="E32" s="32"/>
    </row>
    <row r="33" customFormat="false" ht="15" hidden="false" customHeight="true" outlineLevel="0" collapsed="false">
      <c r="B33" s="22" t="s">
        <v>53</v>
      </c>
      <c r="C33" s="22"/>
      <c r="D33" s="33"/>
      <c r="E33" s="33"/>
      <c r="H33" s="34" t="n">
        <f aca="false">D36+D38</f>
        <v>2400000.015</v>
      </c>
    </row>
    <row r="34" customFormat="false" ht="15" hidden="false" customHeight="true" outlineLevel="0" collapsed="false">
      <c r="B34" s="23" t="s">
        <v>54</v>
      </c>
      <c r="C34" s="23"/>
      <c r="D34" s="28" t="n">
        <f aca="false">G23</f>
        <v>1984338.3</v>
      </c>
      <c r="E34" s="28"/>
    </row>
    <row r="35" customFormat="false" ht="15" hidden="false" customHeight="true" outlineLevel="0" collapsed="false">
      <c r="B35" s="31"/>
      <c r="C35" s="31"/>
      <c r="D35" s="32"/>
      <c r="E35" s="32"/>
    </row>
    <row r="36" customFormat="false" ht="15" hidden="false" customHeight="true" outlineLevel="0" collapsed="false">
      <c r="B36" s="35" t="s">
        <v>55</v>
      </c>
      <c r="C36" s="35"/>
      <c r="D36" s="28" t="n">
        <f aca="false">D31+D34</f>
        <v>2285714.3</v>
      </c>
      <c r="E36" s="28"/>
    </row>
    <row r="37" customFormat="false" ht="15" hidden="false" customHeight="true" outlineLevel="0" collapsed="false">
      <c r="B37" s="31"/>
      <c r="C37" s="31"/>
      <c r="D37" s="32"/>
      <c r="E37" s="32"/>
    </row>
    <row r="38" customFormat="false" ht="15" hidden="false" customHeight="true" outlineLevel="0" collapsed="false">
      <c r="B38" s="36" t="s">
        <v>56</v>
      </c>
      <c r="C38" s="36"/>
      <c r="D38" s="28" t="n">
        <f aca="false">D36*5/100</f>
        <v>114285.715</v>
      </c>
      <c r="E38" s="28"/>
    </row>
    <row r="39" customFormat="false" ht="15" hidden="false" customHeight="true" outlineLevel="0" collapsed="false">
      <c r="B39" s="31"/>
      <c r="C39" s="31"/>
      <c r="D39" s="32"/>
      <c r="E39" s="32"/>
    </row>
    <row r="40" customFormat="false" ht="15" hidden="false" customHeight="true" outlineLevel="0" collapsed="false">
      <c r="B40" s="37" t="s">
        <v>57</v>
      </c>
      <c r="C40" s="37"/>
      <c r="D40" s="20" t="n">
        <f aca="false">D36+D38</f>
        <v>2400000.015</v>
      </c>
      <c r="E40" s="20"/>
    </row>
    <row r="41" customFormat="false" ht="21.75" hidden="false" customHeight="true" outlineLevel="0" collapsed="false">
      <c r="B41" s="38" t="s">
        <v>58</v>
      </c>
      <c r="C41" s="38"/>
      <c r="D41" s="39" t="s">
        <v>59</v>
      </c>
      <c r="E41" s="39"/>
      <c r="F41" s="39"/>
      <c r="G41" s="39"/>
      <c r="H41" s="39"/>
    </row>
    <row r="42" customFormat="false" ht="15" hidden="false" customHeight="true" outlineLevel="0" collapsed="false">
      <c r="B42" s="40"/>
      <c r="C42" s="40"/>
      <c r="D42" s="40"/>
      <c r="E42" s="40"/>
    </row>
    <row r="43" customFormat="false" ht="15" hidden="false" customHeight="true" outlineLevel="0" collapsed="false">
      <c r="B43" s="40"/>
      <c r="C43" s="40"/>
      <c r="D43" s="40"/>
      <c r="E43" s="40"/>
    </row>
    <row r="44" customFormat="false" ht="15" hidden="false" customHeight="true" outlineLevel="0" collapsed="false">
      <c r="B44" s="40"/>
      <c r="C44" s="40"/>
      <c r="D44" s="40"/>
      <c r="E44" s="40"/>
    </row>
    <row r="45" customFormat="false" ht="15" hidden="false" customHeight="true" outlineLevel="0" collapsed="false">
      <c r="B45" s="31"/>
      <c r="C45" s="31"/>
      <c r="D45" s="31"/>
      <c r="E45" s="31"/>
    </row>
    <row r="46" customFormat="false" ht="15" hidden="false" customHeight="true" outlineLevel="0" collapsed="false">
      <c r="B46" s="40"/>
      <c r="C46" s="40"/>
      <c r="D46" s="40"/>
      <c r="E46" s="40"/>
    </row>
    <row r="47" customFormat="false" ht="15" hidden="false" customHeight="true" outlineLevel="0" collapsed="false">
      <c r="B47" s="40"/>
      <c r="C47" s="40"/>
      <c r="D47" s="40"/>
      <c r="E47" s="40"/>
    </row>
    <row r="48" customFormat="false" ht="15" hidden="false" customHeight="true" outlineLevel="0" collapsed="false">
      <c r="B48" s="40"/>
      <c r="C48" s="40"/>
      <c r="D48" s="40"/>
      <c r="E48" s="40"/>
    </row>
  </sheetData>
  <mergeCells count="40">
    <mergeCell ref="A1:H1"/>
    <mergeCell ref="A2:H2"/>
    <mergeCell ref="A3:H3"/>
    <mergeCell ref="A5:H5"/>
    <mergeCell ref="A7:H7"/>
    <mergeCell ref="A8:D8"/>
    <mergeCell ref="E8:H8"/>
    <mergeCell ref="A9:D9"/>
    <mergeCell ref="E9:H9"/>
    <mergeCell ref="A10:D10"/>
    <mergeCell ref="E10:H10"/>
    <mergeCell ref="A23:F23"/>
    <mergeCell ref="A24:F24"/>
    <mergeCell ref="B26:E26"/>
    <mergeCell ref="B28:C28"/>
    <mergeCell ref="D28:E28"/>
    <mergeCell ref="B29:C29"/>
    <mergeCell ref="D29:E29"/>
    <mergeCell ref="B30:C30"/>
    <mergeCell ref="D30:E30"/>
    <mergeCell ref="B31:C31"/>
    <mergeCell ref="D31:E31"/>
    <mergeCell ref="B33:C33"/>
    <mergeCell ref="D33:E33"/>
    <mergeCell ref="B34:C34"/>
    <mergeCell ref="D34:E34"/>
    <mergeCell ref="B36:C36"/>
    <mergeCell ref="D36:E36"/>
    <mergeCell ref="B38:C38"/>
    <mergeCell ref="D38:E38"/>
    <mergeCell ref="B40:C40"/>
    <mergeCell ref="D40:E40"/>
    <mergeCell ref="B41:C41"/>
    <mergeCell ref="D41:H41"/>
    <mergeCell ref="B42:E42"/>
    <mergeCell ref="B43:E43"/>
    <mergeCell ref="B44:E44"/>
    <mergeCell ref="B46:E46"/>
    <mergeCell ref="B47:E47"/>
    <mergeCell ref="B48:E4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49"/>
  <sheetViews>
    <sheetView showFormulas="false" showGridLines="true" showRowColHeaders="true" showZeros="true" rightToLeft="false" tabSelected="false" showOutlineSymbols="true" defaultGridColor="true" view="normal" topLeftCell="A5" colorId="64" zoomScale="100" zoomScaleNormal="100" zoomScalePageLayoutView="100" workbookViewId="0">
      <selection pane="topLeft" activeCell="A12" activeCellId="0" sqref="A12"/>
    </sheetView>
  </sheetViews>
  <sheetFormatPr defaultColWidth="8.71484375" defaultRowHeight="15" customHeight="false"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4" min="3" style="1" width="22"/>
  </cols>
  <sheetData>
    <row r="1" customFormat="false" ht="15" hidden="false" customHeight="true" outlineLevel="0" collapsed="false">
      <c r="A1" s="2" t="s">
        <v>60</v>
      </c>
      <c r="B1" s="2"/>
      <c r="C1" s="2"/>
      <c r="D1" s="2"/>
    </row>
    <row r="2" customFormat="false" ht="17.25" hidden="false" customHeight="true" outlineLevel="0" collapsed="false">
      <c r="A2" s="3" t="s">
        <v>1</v>
      </c>
      <c r="B2" s="3"/>
      <c r="C2" s="3"/>
      <c r="D2" s="3"/>
    </row>
    <row r="3" customFormat="false" ht="15" hidden="false" customHeight="true" outlineLevel="0" collapsed="false">
      <c r="A3" s="4" t="s">
        <v>2</v>
      </c>
      <c r="B3" s="4"/>
      <c r="C3" s="4"/>
      <c r="D3" s="4"/>
    </row>
    <row r="5" customFormat="false" ht="30" hidden="false" customHeight="true" outlineLevel="0" collapsed="false">
      <c r="A5" s="41" t="s">
        <v>61</v>
      </c>
      <c r="B5" s="41"/>
      <c r="C5" s="41"/>
      <c r="D5" s="41"/>
    </row>
    <row r="7" customFormat="false" ht="15" hidden="false" customHeight="true" outlineLevel="0" collapsed="false">
      <c r="A7" s="4" t="s">
        <v>4</v>
      </c>
      <c r="B7" s="4"/>
      <c r="C7" s="4"/>
      <c r="D7" s="4"/>
    </row>
    <row r="8" customFormat="false" ht="15" hidden="false" customHeight="true" outlineLevel="0" collapsed="false">
      <c r="A8" s="42" t="s">
        <v>5</v>
      </c>
      <c r="B8" s="42"/>
      <c r="C8" s="42" t="s">
        <v>62</v>
      </c>
      <c r="D8" s="42"/>
    </row>
    <row r="9" customFormat="false" ht="15" hidden="false" customHeight="true" outlineLevel="0" collapsed="false">
      <c r="A9" s="42" t="s">
        <v>7</v>
      </c>
      <c r="B9" s="42"/>
      <c r="C9" s="42" t="s">
        <v>8</v>
      </c>
      <c r="D9" s="42"/>
    </row>
    <row r="10" customFormat="false" ht="15" hidden="false" customHeight="true" outlineLevel="0" collapsed="false">
      <c r="A10" s="42" t="s">
        <v>9</v>
      </c>
      <c r="B10" s="42"/>
      <c r="C10" s="42" t="s">
        <v>63</v>
      </c>
      <c r="D10" s="42"/>
    </row>
    <row r="12" customFormat="false" ht="15" hidden="false" customHeight="true" outlineLevel="0" collapsed="false">
      <c r="A12" s="40" t="s">
        <v>45</v>
      </c>
      <c r="B12" s="40"/>
      <c r="C12" s="40"/>
      <c r="D12" s="40"/>
    </row>
    <row r="14" customFormat="false" ht="15" hidden="false" customHeight="true" outlineLevel="0" collapsed="false">
      <c r="A14" s="43" t="s">
        <v>46</v>
      </c>
      <c r="B14" s="43"/>
      <c r="C14" s="23"/>
      <c r="D14" s="23"/>
    </row>
    <row r="15" customFormat="false" ht="15" hidden="false" customHeight="true" outlineLevel="0" collapsed="false">
      <c r="A15" s="23" t="s">
        <v>48</v>
      </c>
      <c r="B15" s="23"/>
      <c r="C15" s="44" t="n">
        <v>3000000</v>
      </c>
      <c r="D15" s="44"/>
    </row>
    <row r="16" customFormat="false" ht="15" hidden="false" customHeight="true" outlineLevel="0" collapsed="false">
      <c r="A16" s="27" t="s">
        <v>50</v>
      </c>
      <c r="B16" s="27"/>
      <c r="C16" s="45" t="n">
        <f aca="false">C15-(C15*20/100)</f>
        <v>2400000</v>
      </c>
      <c r="D16" s="45"/>
    </row>
    <row r="17" customFormat="false" ht="21.75" hidden="false" customHeight="true" outlineLevel="0" collapsed="false">
      <c r="A17" s="46" t="s">
        <v>52</v>
      </c>
      <c r="B17" s="46"/>
      <c r="C17" s="45" t="n">
        <f aca="false">C16</f>
        <v>2400000</v>
      </c>
      <c r="D17" s="45"/>
    </row>
    <row r="18" customFormat="false" ht="15" hidden="false" customHeight="true" outlineLevel="0" collapsed="false">
      <c r="A18" s="31"/>
      <c r="B18" s="31"/>
      <c r="C18" s="31"/>
      <c r="D18" s="31"/>
    </row>
    <row r="19" customFormat="false" ht="15" hidden="false" customHeight="true" outlineLevel="0" collapsed="false">
      <c r="A19" s="43" t="s">
        <v>53</v>
      </c>
      <c r="B19" s="43"/>
      <c r="C19" s="23"/>
      <c r="D19" s="23"/>
    </row>
    <row r="20" customFormat="false" ht="15" hidden="false" customHeight="true" outlineLevel="0" collapsed="false">
      <c r="A20" s="23" t="s">
        <v>54</v>
      </c>
      <c r="B20" s="23"/>
      <c r="C20" s="45" t="n">
        <f aca="false">BOQ!G23</f>
        <v>1984338.3</v>
      </c>
      <c r="D20" s="45"/>
    </row>
    <row r="21" customFormat="false" ht="15" hidden="false" customHeight="true" outlineLevel="0" collapsed="false">
      <c r="A21" s="31"/>
      <c r="B21" s="31"/>
      <c r="C21" s="31"/>
      <c r="D21" s="31"/>
    </row>
    <row r="22" customFormat="false" ht="21.75" hidden="false" customHeight="true" outlineLevel="0" collapsed="false">
      <c r="A22" s="46" t="s">
        <v>55</v>
      </c>
      <c r="B22" s="46"/>
      <c r="C22" s="45" t="n">
        <f aca="false">C17+C20</f>
        <v>4384338.3</v>
      </c>
      <c r="D22" s="45"/>
    </row>
    <row r="23" customFormat="false" ht="15" hidden="false" customHeight="true" outlineLevel="0" collapsed="false">
      <c r="A23" s="31"/>
      <c r="B23" s="31"/>
      <c r="C23" s="31"/>
      <c r="D23" s="31"/>
    </row>
    <row r="24" customFormat="false" ht="15" hidden="false" customHeight="true" outlineLevel="0" collapsed="false">
      <c r="A24" s="36" t="s">
        <v>56</v>
      </c>
      <c r="B24" s="36"/>
      <c r="C24" s="45" t="n">
        <f aca="false">C22*5/100</f>
        <v>219216.915</v>
      </c>
      <c r="D24" s="45"/>
    </row>
    <row r="25" customFormat="false" ht="27.75" hidden="false" customHeight="true" outlineLevel="0" collapsed="false">
      <c r="A25" s="31"/>
      <c r="B25" s="31"/>
      <c r="C25" s="31"/>
      <c r="D25" s="31"/>
    </row>
    <row r="26" customFormat="false" ht="27.75" hidden="false" customHeight="true" outlineLevel="0" collapsed="false">
      <c r="A26" s="47" t="s">
        <v>57</v>
      </c>
      <c r="B26" s="47"/>
      <c r="C26" s="48" t="n">
        <f aca="false">C22+C24</f>
        <v>4603555.215</v>
      </c>
      <c r="D26" s="48"/>
    </row>
    <row r="27" customFormat="false" ht="15" hidden="false" customHeight="true" outlineLevel="0" collapsed="false">
      <c r="A27" s="31"/>
      <c r="B27" s="31"/>
      <c r="C27" s="31"/>
      <c r="D27" s="31"/>
    </row>
    <row r="28" customFormat="false" ht="15" hidden="false" customHeight="true" outlineLevel="0" collapsed="false">
      <c r="A28" s="40" t="s">
        <v>64</v>
      </c>
      <c r="B28" s="40"/>
      <c r="C28" s="40"/>
      <c r="D28" s="40"/>
    </row>
    <row r="29" customFormat="false" ht="15" hidden="false" customHeight="true" outlineLevel="0" collapsed="false">
      <c r="A29" s="40" t="s">
        <v>65</v>
      </c>
      <c r="B29" s="40"/>
      <c r="C29" s="40"/>
      <c r="D29" s="40"/>
    </row>
    <row r="30" customFormat="false" ht="15" hidden="false" customHeight="true" outlineLevel="0" collapsed="false">
      <c r="A30" s="40" t="s">
        <v>66</v>
      </c>
      <c r="B30" s="40"/>
      <c r="C30" s="40"/>
      <c r="D30" s="40"/>
    </row>
    <row r="31" customFormat="false" ht="15" hidden="false" customHeight="true" outlineLevel="0" collapsed="false">
      <c r="A31" s="31"/>
      <c r="B31" s="31"/>
      <c r="C31" s="31"/>
      <c r="D31" s="31"/>
    </row>
    <row r="32" customFormat="false" ht="15" hidden="false" customHeight="true" outlineLevel="0" collapsed="false">
      <c r="A32" s="40" t="s">
        <v>67</v>
      </c>
      <c r="B32" s="40"/>
      <c r="C32" s="40"/>
      <c r="D32" s="40"/>
    </row>
    <row r="33" customFormat="false" ht="15" hidden="false" customHeight="true" outlineLevel="0" collapsed="false">
      <c r="A33" s="40" t="s">
        <v>68</v>
      </c>
      <c r="B33" s="40"/>
      <c r="C33" s="40"/>
      <c r="D33" s="40"/>
    </row>
    <row r="34" customFormat="false" ht="15" hidden="false" customHeight="true" outlineLevel="0" collapsed="false">
      <c r="A34" s="40" t="s">
        <v>69</v>
      </c>
      <c r="B34" s="40"/>
      <c r="C34" s="40"/>
      <c r="D34" s="40"/>
    </row>
    <row r="35" customFormat="false" ht="15" hidden="false" customHeight="true" outlineLevel="0" collapsed="false">
      <c r="A35" s="31"/>
      <c r="B35" s="31"/>
      <c r="C35" s="31"/>
      <c r="D35" s="31"/>
    </row>
    <row r="36" customFormat="false" ht="15" hidden="false" customHeight="true" outlineLevel="0" collapsed="false">
      <c r="A36" s="49" t="s">
        <v>70</v>
      </c>
      <c r="B36" s="31"/>
      <c r="C36" s="31"/>
      <c r="D36" s="31"/>
    </row>
    <row r="37" customFormat="false" ht="15" hidden="false" customHeight="true" outlineLevel="0" collapsed="false">
      <c r="A37" s="40" t="s">
        <v>71</v>
      </c>
      <c r="B37" s="40"/>
      <c r="C37" s="40"/>
      <c r="D37" s="40"/>
    </row>
    <row r="38" customFormat="false" ht="15" hidden="false" customHeight="true" outlineLevel="0" collapsed="false">
      <c r="A38" s="40" t="s">
        <v>72</v>
      </c>
      <c r="B38" s="40"/>
      <c r="C38" s="40"/>
      <c r="D38" s="40"/>
    </row>
    <row r="39" customFormat="false" ht="15" hidden="false" customHeight="true" outlineLevel="0" collapsed="false">
      <c r="A39" s="40" t="s">
        <v>73</v>
      </c>
      <c r="B39" s="40"/>
      <c r="C39" s="40"/>
      <c r="D39" s="40"/>
    </row>
    <row r="40" customFormat="false" ht="15" hidden="false" customHeight="true" outlineLevel="0" collapsed="false">
      <c r="A40" s="40" t="s">
        <v>74</v>
      </c>
      <c r="B40" s="40"/>
      <c r="C40" s="40"/>
      <c r="D40" s="40"/>
    </row>
    <row r="41" customFormat="false" ht="15" hidden="false" customHeight="true" outlineLevel="0" collapsed="false">
      <c r="A41" s="31"/>
      <c r="B41" s="31"/>
      <c r="C41" s="31"/>
      <c r="D41" s="31"/>
    </row>
    <row r="42" customFormat="false" ht="15" hidden="false" customHeight="true" outlineLevel="0" collapsed="false">
      <c r="A42" s="31"/>
      <c r="B42" s="31"/>
      <c r="C42" s="31"/>
      <c r="D42" s="31"/>
    </row>
    <row r="43" customFormat="false" ht="15" hidden="false" customHeight="true" outlineLevel="0" collapsed="false">
      <c r="A43" s="31"/>
      <c r="B43" s="31"/>
      <c r="C43" s="50" t="s">
        <v>75</v>
      </c>
      <c r="D43" s="50"/>
    </row>
    <row r="44" customFormat="false" ht="15" hidden="false" customHeight="true" outlineLevel="0" collapsed="false">
      <c r="A44" s="31"/>
      <c r="B44" s="31"/>
      <c r="C44" s="31"/>
      <c r="D44" s="31"/>
    </row>
    <row r="45" customFormat="false" ht="15" hidden="false" customHeight="true" outlineLevel="0" collapsed="false">
      <c r="A45" s="31"/>
      <c r="B45" s="31"/>
      <c r="C45" s="51" t="s">
        <v>76</v>
      </c>
      <c r="D45" s="51"/>
    </row>
    <row r="46" customFormat="false" ht="15" hidden="false" customHeight="true" outlineLevel="0" collapsed="false">
      <c r="A46" s="31"/>
      <c r="B46" s="31"/>
      <c r="C46" s="51" t="s">
        <v>77</v>
      </c>
      <c r="D46" s="51"/>
    </row>
    <row r="47" customFormat="false" ht="15" hidden="false" customHeight="true" outlineLevel="0" collapsed="false">
      <c r="A47" s="31"/>
      <c r="B47" s="31"/>
      <c r="C47" s="31"/>
      <c r="D47" s="31"/>
    </row>
    <row r="48" customFormat="false" ht="15" hidden="false" customHeight="true" outlineLevel="0" collapsed="false">
      <c r="A48" s="31"/>
      <c r="B48" s="31"/>
      <c r="C48" s="31"/>
      <c r="D48" s="31"/>
    </row>
    <row r="49" customFormat="false" ht="15" hidden="false" customHeight="true" outlineLevel="0" collapsed="false">
      <c r="A49" s="31" t="s">
        <v>78</v>
      </c>
      <c r="B49" s="31"/>
      <c r="C49" s="31"/>
      <c r="D49" s="31"/>
    </row>
  </sheetData>
  <mergeCells count="43">
    <mergeCell ref="A1:D1"/>
    <mergeCell ref="A2:D2"/>
    <mergeCell ref="A3:D3"/>
    <mergeCell ref="A5:D5"/>
    <mergeCell ref="A7:D7"/>
    <mergeCell ref="A8:B8"/>
    <mergeCell ref="C8:D8"/>
    <mergeCell ref="A9:B9"/>
    <mergeCell ref="C9:D9"/>
    <mergeCell ref="A10:B10"/>
    <mergeCell ref="C10:D10"/>
    <mergeCell ref="A12:D12"/>
    <mergeCell ref="A14:B14"/>
    <mergeCell ref="C14:D14"/>
    <mergeCell ref="A15:B15"/>
    <mergeCell ref="C15:D15"/>
    <mergeCell ref="A16:B16"/>
    <mergeCell ref="C16:D16"/>
    <mergeCell ref="A17:B17"/>
    <mergeCell ref="C17:D17"/>
    <mergeCell ref="A19:B19"/>
    <mergeCell ref="C19:D19"/>
    <mergeCell ref="A20:B20"/>
    <mergeCell ref="C20:D20"/>
    <mergeCell ref="A22:B22"/>
    <mergeCell ref="C22:D22"/>
    <mergeCell ref="A24:B24"/>
    <mergeCell ref="C24:D24"/>
    <mergeCell ref="A26:B26"/>
    <mergeCell ref="C26:D26"/>
    <mergeCell ref="A28:D28"/>
    <mergeCell ref="A29:D29"/>
    <mergeCell ref="A30:D30"/>
    <mergeCell ref="A32:D32"/>
    <mergeCell ref="A33:D33"/>
    <mergeCell ref="A34:D34"/>
    <mergeCell ref="A37:D37"/>
    <mergeCell ref="A38:D38"/>
    <mergeCell ref="A39:D39"/>
    <mergeCell ref="A40:D40"/>
    <mergeCell ref="C43:D43"/>
    <mergeCell ref="C45:D45"/>
    <mergeCell ref="C46:D4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2026-03-31T15:02:11Z</dcterms:created>
  <dc:creator>openpyxl</dc:creator>
  <dc:description/>
  <dc:language>en-US</dc:language>
  <cp:lastModifiedBy>Taimoor Ahmed</cp:lastModifiedBy>
  <dcterms:modified xsi:type="dcterms:W3CDTF">2026-04-18T00:43:24Z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